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ric\Dropbox\PHPCurves\DOCS\z-curve\social.priming.2023\"/>
    </mc:Choice>
  </mc:AlternateContent>
  <xr:revisionPtr revIDLastSave="0" documentId="13_ncr:1_{6ED45176-D11F-4C15-821D-417CAC963494}" xr6:coauthVersionLast="47" xr6:coauthVersionMax="47" xr10:uidLastSave="{00000000-0000-0000-0000-000000000000}"/>
  <bookViews>
    <workbookView xWindow="-108" yWindow="-108" windowWidth="23256" windowHeight="14616" xr2:uid="{73BFA29F-2655-4737-B172-5BF8C9BBF21B}"/>
  </bookViews>
  <sheets>
    <sheet name="elderly_priming_effects(1)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M18" i="1"/>
  <c r="L18" i="1"/>
  <c r="H17" i="1"/>
  <c r="L17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19" i="1" l="1"/>
  <c r="M19" i="1"/>
</calcChain>
</file>

<file path=xl/sharedStrings.xml><?xml version="1.0" encoding="utf-8"?>
<sst xmlns="http://schemas.openxmlformats.org/spreadsheetml/2006/main" count="92" uniqueCount="46">
  <si>
    <t>DV</t>
  </si>
  <si>
    <t>MA focal type</t>
  </si>
  <si>
    <t>yi (d)</t>
  </si>
  <si>
    <t>SE</t>
  </si>
  <si>
    <t>z = yi/SE</t>
  </si>
  <si>
    <t>Notes</t>
  </si>
  <si>
    <t>Bargh et al. 1996, Exp. 2a</t>
  </si>
  <si>
    <t>Walking time</t>
  </si>
  <si>
    <t>main2</t>
  </si>
  <si>
    <t>Original</t>
  </si>
  <si>
    <t>Bargh et al. 1996, Exp. 2b</t>
  </si>
  <si>
    <t>Original replication</t>
  </si>
  <si>
    <t>Cesario et al. 2006, Study 2</t>
  </si>
  <si>
    <t>PCN</t>
  </si>
  <si>
    <t>Elderly vs no-prime</t>
  </si>
  <si>
    <t>Dijksterhuis et al. 1998, Study 2a</t>
  </si>
  <si>
    <t>PPC</t>
  </si>
  <si>
    <t>Pure elderly-prime condition</t>
  </si>
  <si>
    <t>Dijksterhuis et al. 1998, Study 2b</t>
  </si>
  <si>
    <t>Doyen et al. 2012, Exp. 1</t>
  </si>
  <si>
    <t>Clean replication failure</t>
  </si>
  <si>
    <t>Hull et al. 2002, Study 1a</t>
  </si>
  <si>
    <t>Published around SC x prime interaction</t>
  </si>
  <si>
    <t>Hull et al. 2002, Study 1b</t>
  </si>
  <si>
    <t>Jefferis &amp; Fazio 2008, Exp. 2</t>
  </si>
  <si>
    <t>Anagram persistence</t>
  </si>
  <si>
    <t>Prime x stop-rule interaction; main effect approx. 0</t>
  </si>
  <si>
    <t>Ginsberg et al. 2012, Study 2</t>
  </si>
  <si>
    <t>Peg-test completion speed</t>
  </si>
  <si>
    <t>Elderly vs neutral</t>
  </si>
  <si>
    <t>Dropped pegs</t>
  </si>
  <si>
    <t>Source inconsistency: text says nonsignificant</t>
  </si>
  <si>
    <t>Ginsberg et al. 2012, Study 3</t>
  </si>
  <si>
    <t>Clumsy movements</t>
  </si>
  <si>
    <t>Wyer et al. 2011</t>
  </si>
  <si>
    <t>Elderly prime vs control; approximate from Figure 1 means and SE bars; n=24/condition assumed; dependent with memory outcome</t>
  </si>
  <si>
    <t>Memory recall (fewer words = more elderly-stereotypic)</t>
  </si>
  <si>
    <t>Elderly prime vs control; direction reflected so positive = more elderly-stereotypic; approximate from Figure 1 means and SE bars; n=24/condition assumed; dependent with walking outcome</t>
  </si>
  <si>
    <t xml:space="preserve"> </t>
  </si>
  <si>
    <t>Article</t>
  </si>
  <si>
    <t>Study</t>
  </si>
  <si>
    <t>Reinhard et al.</t>
  </si>
  <si>
    <t>Sig</t>
  </si>
  <si>
    <t>Old Avatar</t>
  </si>
  <si>
    <t>Harris</t>
  </si>
  <si>
    <t>close replication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</si>
</sst>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6452-1A15-427C-8656-67B94903FF5E}">
  <dimension ref="A1:M19"/>
  <sheetViews>
    <sheetView tabSelected="1" workbookViewId="0">
      <selection activeCell="J19" sqref="J19"/>
    </sheetView>
  </sheetViews>
  <sheetFormatPr defaultRowHeight="14.4" x14ac:dyDescent="0.3"/>
  <sheetData>
    <row r="1" spans="1:13" x14ac:dyDescent="0.3">
      <c r="A1" t="s">
        <v>39</v>
      </c>
      <c r="B1" t="s">
        <v>40</v>
      </c>
      <c r="C1" t="s">
        <v>0</v>
      </c>
      <c r="D1" t="s">
        <v>1</v>
      </c>
      <c r="F1" t="s">
        <v>2</v>
      </c>
      <c r="G1" t="s">
        <v>3</v>
      </c>
      <c r="H1" t="s">
        <v>4</v>
      </c>
      <c r="I1" t="s">
        <v>42</v>
      </c>
      <c r="J1" t="s">
        <v>5</v>
      </c>
    </row>
    <row r="2" spans="1:13" x14ac:dyDescent="0.3">
      <c r="A2" t="s">
        <v>6</v>
      </c>
      <c r="B2">
        <v>1</v>
      </c>
      <c r="C2" t="s">
        <v>7</v>
      </c>
      <c r="D2" t="s">
        <v>8</v>
      </c>
      <c r="E2">
        <v>1</v>
      </c>
      <c r="F2">
        <v>1.0443243429765099</v>
      </c>
      <c r="G2">
        <v>0.390907369371021</v>
      </c>
      <c r="H2">
        <v>2.6715391542933999</v>
      </c>
      <c r="I2">
        <v>1</v>
      </c>
      <c r="J2" t="s">
        <v>9</v>
      </c>
      <c r="K2" t="s">
        <v>38</v>
      </c>
      <c r="L2">
        <f>IF(E2=1,F2,"")</f>
        <v>1.0443243429765099</v>
      </c>
      <c r="M2" t="str">
        <f>IF(E2=0,F2,"")</f>
        <v/>
      </c>
    </row>
    <row r="3" spans="1:13" x14ac:dyDescent="0.3">
      <c r="A3" t="s">
        <v>10</v>
      </c>
      <c r="B3">
        <v>2</v>
      </c>
      <c r="C3" t="s">
        <v>7</v>
      </c>
      <c r="D3" t="s">
        <v>8</v>
      </c>
      <c r="E3">
        <v>1</v>
      </c>
      <c r="F3">
        <v>0.78872048280743901</v>
      </c>
      <c r="G3">
        <v>0.38005513384495299</v>
      </c>
      <c r="H3">
        <v>2.07527911760614</v>
      </c>
      <c r="I3">
        <v>1</v>
      </c>
      <c r="J3" t="s">
        <v>11</v>
      </c>
      <c r="K3" t="s">
        <v>38</v>
      </c>
      <c r="L3">
        <f t="shared" ref="L3:L18" si="0">IF(E3=1,F3,"")</f>
        <v>0.78872048280743901</v>
      </c>
      <c r="M3" t="str">
        <f t="shared" ref="M3:M18" si="1">IF(E3=0,F3,"")</f>
        <v/>
      </c>
    </row>
    <row r="4" spans="1:13" x14ac:dyDescent="0.3">
      <c r="A4" t="s">
        <v>12</v>
      </c>
      <c r="B4">
        <v>3</v>
      </c>
      <c r="C4" t="s">
        <v>7</v>
      </c>
      <c r="D4" t="s">
        <v>13</v>
      </c>
      <c r="E4">
        <v>0</v>
      </c>
      <c r="F4">
        <v>0.223</v>
      </c>
      <c r="G4">
        <v>0.29599999999999999</v>
      </c>
      <c r="H4">
        <v>0.75337837837837796</v>
      </c>
      <c r="I4">
        <v>0</v>
      </c>
      <c r="J4" t="s">
        <v>14</v>
      </c>
      <c r="K4" t="s">
        <v>38</v>
      </c>
      <c r="L4" t="str">
        <f t="shared" si="0"/>
        <v/>
      </c>
      <c r="M4">
        <f t="shared" si="1"/>
        <v>0.223</v>
      </c>
    </row>
    <row r="5" spans="1:13" x14ac:dyDescent="0.3">
      <c r="A5" t="s">
        <v>15</v>
      </c>
      <c r="B5">
        <v>4</v>
      </c>
      <c r="C5" t="s">
        <v>7</v>
      </c>
      <c r="D5" t="s">
        <v>16</v>
      </c>
      <c r="E5">
        <v>0</v>
      </c>
      <c r="F5">
        <v>0.249</v>
      </c>
      <c r="G5">
        <v>0.34799999999999998</v>
      </c>
      <c r="H5">
        <v>0.71551724137931005</v>
      </c>
      <c r="I5">
        <v>0</v>
      </c>
      <c r="J5" t="s">
        <v>17</v>
      </c>
      <c r="K5" t="s">
        <v>38</v>
      </c>
      <c r="L5" t="str">
        <f t="shared" si="0"/>
        <v/>
      </c>
      <c r="M5">
        <f t="shared" si="1"/>
        <v>0.249</v>
      </c>
    </row>
    <row r="6" spans="1:13" x14ac:dyDescent="0.3">
      <c r="A6" t="s">
        <v>18</v>
      </c>
      <c r="B6">
        <v>5</v>
      </c>
      <c r="C6" t="s">
        <v>7</v>
      </c>
      <c r="D6" t="s">
        <v>16</v>
      </c>
      <c r="E6">
        <v>0</v>
      </c>
      <c r="F6">
        <v>0.29199999999999998</v>
      </c>
      <c r="G6">
        <v>0.40500000000000003</v>
      </c>
      <c r="H6">
        <v>0.72098765432098699</v>
      </c>
      <c r="I6">
        <v>0</v>
      </c>
      <c r="J6" t="s">
        <v>17</v>
      </c>
      <c r="K6" t="s">
        <v>38</v>
      </c>
      <c r="L6" t="str">
        <f t="shared" si="0"/>
        <v/>
      </c>
      <c r="M6">
        <f t="shared" si="1"/>
        <v>0.29199999999999998</v>
      </c>
    </row>
    <row r="7" spans="1:13" x14ac:dyDescent="0.3">
      <c r="A7" t="s">
        <v>19</v>
      </c>
      <c r="B7">
        <v>6</v>
      </c>
      <c r="C7" t="s">
        <v>7</v>
      </c>
      <c r="D7" t="s">
        <v>8</v>
      </c>
      <c r="E7">
        <v>1</v>
      </c>
      <c r="F7">
        <v>-7.0099999999999996E-2</v>
      </c>
      <c r="G7">
        <v>0.18260000000000001</v>
      </c>
      <c r="H7">
        <v>-0.38389923329682302</v>
      </c>
      <c r="I7">
        <v>0</v>
      </c>
      <c r="J7" t="s">
        <v>20</v>
      </c>
      <c r="K7" t="s">
        <v>38</v>
      </c>
      <c r="L7">
        <f t="shared" si="0"/>
        <v>-7.0099999999999996E-2</v>
      </c>
      <c r="M7" t="str">
        <f t="shared" si="1"/>
        <v/>
      </c>
    </row>
    <row r="8" spans="1:13" x14ac:dyDescent="0.3">
      <c r="A8" t="s">
        <v>21</v>
      </c>
      <c r="B8">
        <v>7</v>
      </c>
      <c r="C8" t="s">
        <v>7</v>
      </c>
      <c r="D8" t="s">
        <v>8</v>
      </c>
      <c r="E8">
        <v>0</v>
      </c>
      <c r="F8">
        <v>0.56499999999999995</v>
      </c>
      <c r="G8">
        <v>0.36699999999999999</v>
      </c>
      <c r="H8">
        <v>1.53950953678474</v>
      </c>
      <c r="I8">
        <v>0</v>
      </c>
      <c r="J8" t="s">
        <v>22</v>
      </c>
      <c r="K8" t="s">
        <v>38</v>
      </c>
      <c r="L8" t="str">
        <f t="shared" si="0"/>
        <v/>
      </c>
      <c r="M8">
        <f t="shared" si="1"/>
        <v>0.56499999999999995</v>
      </c>
    </row>
    <row r="9" spans="1:13" x14ac:dyDescent="0.3">
      <c r="A9" t="s">
        <v>23</v>
      </c>
      <c r="B9">
        <v>8</v>
      </c>
      <c r="C9" t="s">
        <v>7</v>
      </c>
      <c r="D9" t="s">
        <v>8</v>
      </c>
      <c r="E9">
        <v>0</v>
      </c>
      <c r="F9">
        <v>0.54300000000000004</v>
      </c>
      <c r="G9">
        <v>0.32200000000000001</v>
      </c>
      <c r="H9">
        <v>1.6863354037267</v>
      </c>
      <c r="I9">
        <v>0</v>
      </c>
      <c r="J9" t="s">
        <v>22</v>
      </c>
      <c r="K9" t="s">
        <v>38</v>
      </c>
      <c r="L9" t="str">
        <f t="shared" si="0"/>
        <v/>
      </c>
      <c r="M9">
        <f t="shared" si="1"/>
        <v>0.54300000000000004</v>
      </c>
    </row>
    <row r="10" spans="1:13" x14ac:dyDescent="0.3">
      <c r="A10" t="s">
        <v>24</v>
      </c>
      <c r="B10">
        <v>9</v>
      </c>
      <c r="C10" t="s">
        <v>25</v>
      </c>
      <c r="D10" t="s">
        <v>8</v>
      </c>
      <c r="E10">
        <v>0</v>
      </c>
      <c r="F10">
        <v>-4.6300000000000001E-2</v>
      </c>
      <c r="G10">
        <v>0.2006</v>
      </c>
      <c r="H10">
        <v>-0.23080757726819501</v>
      </c>
      <c r="I10">
        <v>0</v>
      </c>
      <c r="J10" t="s">
        <v>26</v>
      </c>
      <c r="K10" t="s">
        <v>38</v>
      </c>
      <c r="L10" t="str">
        <f t="shared" si="0"/>
        <v/>
      </c>
      <c r="M10">
        <f t="shared" si="1"/>
        <v>-4.6300000000000001E-2</v>
      </c>
    </row>
    <row r="11" spans="1:13" x14ac:dyDescent="0.3">
      <c r="A11" t="s">
        <v>27</v>
      </c>
      <c r="B11">
        <v>10</v>
      </c>
      <c r="C11" t="s">
        <v>28</v>
      </c>
      <c r="D11" t="s">
        <v>16</v>
      </c>
      <c r="E11">
        <v>0</v>
      </c>
      <c r="F11">
        <v>1.256</v>
      </c>
      <c r="G11">
        <v>0.438</v>
      </c>
      <c r="H11">
        <v>2.8675799086757898</v>
      </c>
      <c r="I11">
        <v>1</v>
      </c>
      <c r="J11" t="s">
        <v>29</v>
      </c>
      <c r="K11" t="s">
        <v>38</v>
      </c>
      <c r="L11" t="str">
        <f t="shared" si="0"/>
        <v/>
      </c>
      <c r="M11">
        <f t="shared" si="1"/>
        <v>1.256</v>
      </c>
    </row>
    <row r="12" spans="1:13" x14ac:dyDescent="0.3">
      <c r="A12" t="s">
        <v>27</v>
      </c>
      <c r="B12">
        <v>10</v>
      </c>
      <c r="C12" t="s">
        <v>30</v>
      </c>
      <c r="D12" t="s">
        <v>16</v>
      </c>
      <c r="E12">
        <v>0</v>
      </c>
      <c r="F12">
        <v>1.054</v>
      </c>
      <c r="G12">
        <v>0.42599999999999999</v>
      </c>
      <c r="H12">
        <v>2.4741784037558601</v>
      </c>
      <c r="I12">
        <v>1</v>
      </c>
      <c r="J12" t="s">
        <v>31</v>
      </c>
      <c r="K12" t="s">
        <v>38</v>
      </c>
      <c r="L12" t="str">
        <f t="shared" si="0"/>
        <v/>
      </c>
      <c r="M12">
        <f t="shared" si="1"/>
        <v>1.054</v>
      </c>
    </row>
    <row r="13" spans="1:13" x14ac:dyDescent="0.3">
      <c r="A13" t="s">
        <v>32</v>
      </c>
      <c r="B13">
        <v>11</v>
      </c>
      <c r="C13" t="s">
        <v>30</v>
      </c>
      <c r="D13" t="s">
        <v>16</v>
      </c>
      <c r="E13">
        <v>0</v>
      </c>
      <c r="F13">
        <v>0.28599999999999998</v>
      </c>
      <c r="G13">
        <v>0.25800000000000001</v>
      </c>
      <c r="H13">
        <v>1.1085271317829399</v>
      </c>
      <c r="I13">
        <v>0</v>
      </c>
      <c r="J13" t="s">
        <v>29</v>
      </c>
      <c r="K13" t="s">
        <v>38</v>
      </c>
      <c r="L13" t="str">
        <f t="shared" si="0"/>
        <v/>
      </c>
      <c r="M13">
        <f t="shared" si="1"/>
        <v>0.28599999999999998</v>
      </c>
    </row>
    <row r="14" spans="1:13" x14ac:dyDescent="0.3">
      <c r="A14" t="s">
        <v>32</v>
      </c>
      <c r="B14">
        <v>11</v>
      </c>
      <c r="C14" t="s">
        <v>33</v>
      </c>
      <c r="D14" t="s">
        <v>16</v>
      </c>
      <c r="E14">
        <v>0</v>
      </c>
      <c r="F14">
        <v>0.30599999999999999</v>
      </c>
      <c r="G14">
        <v>0.25800000000000001</v>
      </c>
      <c r="H14">
        <v>1.1860465116279</v>
      </c>
      <c r="I14">
        <v>0</v>
      </c>
      <c r="J14" t="s">
        <v>29</v>
      </c>
      <c r="K14" t="s">
        <v>38</v>
      </c>
      <c r="L14" t="str">
        <f t="shared" si="0"/>
        <v/>
      </c>
      <c r="M14">
        <f t="shared" si="1"/>
        <v>0.30599999999999999</v>
      </c>
    </row>
    <row r="15" spans="1:13" x14ac:dyDescent="0.3">
      <c r="A15" t="s">
        <v>34</v>
      </c>
      <c r="B15">
        <v>12</v>
      </c>
      <c r="C15" t="s">
        <v>7</v>
      </c>
      <c r="D15" t="s">
        <v>16</v>
      </c>
      <c r="E15">
        <v>0</v>
      </c>
      <c r="F15">
        <v>0.69501509121133098</v>
      </c>
      <c r="G15">
        <v>0.29763036317462299</v>
      </c>
      <c r="H15">
        <v>2.3351619229908902</v>
      </c>
      <c r="I15">
        <v>1</v>
      </c>
      <c r="J15" t="s">
        <v>35</v>
      </c>
      <c r="K15" t="s">
        <v>38</v>
      </c>
      <c r="L15" t="str">
        <f t="shared" si="0"/>
        <v/>
      </c>
      <c r="M15">
        <f t="shared" si="1"/>
        <v>0.69501509121133098</v>
      </c>
    </row>
    <row r="16" spans="1:13" x14ac:dyDescent="0.3">
      <c r="A16" t="s">
        <v>34</v>
      </c>
      <c r="B16">
        <v>12</v>
      </c>
      <c r="C16" t="s">
        <v>36</v>
      </c>
      <c r="D16" t="s">
        <v>16</v>
      </c>
      <c r="E16">
        <v>0</v>
      </c>
      <c r="F16">
        <v>1.03082499012025</v>
      </c>
      <c r="G16">
        <v>0.30803138650996398</v>
      </c>
      <c r="H16">
        <v>3.3464933616006798</v>
      </c>
      <c r="I16">
        <v>1</v>
      </c>
      <c r="J16" t="s">
        <v>37</v>
      </c>
      <c r="K16" t="s">
        <v>38</v>
      </c>
      <c r="L16" t="str">
        <f t="shared" si="0"/>
        <v/>
      </c>
      <c r="M16">
        <f t="shared" si="1"/>
        <v>1.03082499012025</v>
      </c>
    </row>
    <row r="17" spans="1:13" ht="15" customHeight="1" x14ac:dyDescent="0.3">
      <c r="A17" t="s">
        <v>41</v>
      </c>
      <c r="B17">
        <v>13</v>
      </c>
      <c r="C17" t="s">
        <v>7</v>
      </c>
      <c r="D17" t="s">
        <v>16</v>
      </c>
      <c r="E17">
        <v>0</v>
      </c>
      <c r="F17">
        <v>0.56899999999999995</v>
      </c>
      <c r="G17">
        <v>0.3</v>
      </c>
      <c r="H17">
        <f>F17/G17</f>
        <v>1.8966666666666665</v>
      </c>
      <c r="I17">
        <v>0</v>
      </c>
      <c r="J17" t="s">
        <v>43</v>
      </c>
      <c r="L17" t="str">
        <f t="shared" si="0"/>
        <v/>
      </c>
      <c r="M17">
        <f t="shared" si="1"/>
        <v>0.56899999999999995</v>
      </c>
    </row>
    <row r="18" spans="1:13" ht="15" customHeight="1" x14ac:dyDescent="0.3">
      <c r="A18" t="s">
        <v>44</v>
      </c>
      <c r="B18">
        <v>14</v>
      </c>
      <c r="C18" t="s">
        <v>7</v>
      </c>
      <c r="D18" t="s">
        <v>8</v>
      </c>
      <c r="E18">
        <v>1</v>
      </c>
      <c r="F18">
        <v>-0.218</v>
      </c>
      <c r="G18">
        <v>0.247</v>
      </c>
      <c r="H18">
        <f>F18/G18</f>
        <v>-0.88259109311740891</v>
      </c>
      <c r="I18">
        <v>0</v>
      </c>
      <c r="J18" t="s">
        <v>45</v>
      </c>
      <c r="L18">
        <f t="shared" si="0"/>
        <v>-0.218</v>
      </c>
      <c r="M18" t="str">
        <f t="shared" si="1"/>
        <v/>
      </c>
    </row>
    <row r="19" spans="1:13" x14ac:dyDescent="0.3">
      <c r="L19">
        <f>AVERAGE(L2:L18)</f>
        <v>0.38623620644598722</v>
      </c>
      <c r="M19">
        <f>AVERAGE(M2:M18)</f>
        <v>0.54019539087166002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elderly_priming_effects(1)(2)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Ulrich Schimmack</dc:creator>
  <cp:lastModifiedBy>Ulrich Schimmack</cp:lastModifiedBy>
  <dcterms:created xsi:type="dcterms:W3CDTF">2026-08-08T15:43:42Z</dcterms:created>
  <dcterms:modified xsi:type="dcterms:W3CDTF">2026-08-12T00:53:13Z</dcterms:modified>
</cp:coreProperties>
</file>